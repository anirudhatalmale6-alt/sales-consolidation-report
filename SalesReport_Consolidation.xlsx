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tings" sheetId="1" state="visible" r:id="rId3"/>
    <sheet name="Summary" sheetId="2" state="visible" r:id="rId4"/>
    <sheet name="SampleData" sheetId="3" state="visible" r:id="rId5"/>
  </sheets>
  <definedNames>
    <definedName function="false" hidden="false" name="EndDate" vbProcedure="false">Settings!$B$11</definedName>
    <definedName function="false" hidden="false" name="StartDate" vbProcedure="false">Settings!$B$10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<sst xmlns="http://schemas.openxmlformats.org/spreadsheetml/2006/main" count="120" uniqueCount="78">
  <si>
    <t xml:space="preserve">SALES REPORT — CONSOLIDATION SETTINGS</t>
  </si>
  <si>
    <t xml:space="preserve">  SOURCE CONFIGURATION</t>
  </si>
  <si>
    <t xml:space="preserve">Source File Path:</t>
  </si>
  <si>
    <t xml:space="preserve">C:\Users\YourName\OneDrive\SalesLog.xlsx</t>
  </si>
  <si>
    <t xml:space="preserve">Source Sheet Name:</t>
  </si>
  <si>
    <t xml:space="preserve">Sheet1</t>
  </si>
  <si>
    <t xml:space="preserve">  DATE RANGE FILTER</t>
  </si>
  <si>
    <t xml:space="preserve">Start Date:</t>
  </si>
  <si>
    <t xml:space="preserve">End Date:</t>
  </si>
  <si>
    <t xml:space="preserve">  HOW TO USE</t>
  </si>
  <si>
    <t xml:space="preserve">1.</t>
  </si>
  <si>
    <t xml:space="preserve">Save this file as .xlsm (macro-enabled) if you haven't already</t>
  </si>
  <si>
    <t xml:space="preserve">2.</t>
  </si>
  <si>
    <t xml:space="preserve">Import the VBA module (see Setup Notes)</t>
  </si>
  <si>
    <t xml:space="preserve">3.</t>
  </si>
  <si>
    <t xml:space="preserve">Update the Source File Path (B5) to your OneDrive workbook full path</t>
  </si>
  <si>
    <t xml:space="preserve">4.</t>
  </si>
  <si>
    <t xml:space="preserve">Update the Source Sheet Name (B6) if different from "Sheet1"</t>
  </si>
  <si>
    <t xml:space="preserve">5.</t>
  </si>
  <si>
    <t xml:space="preserve">Set your Start Date (B10) and End Date (B11)</t>
  </si>
  <si>
    <t xml:space="preserve">6.</t>
  </si>
  <si>
    <t xml:space="preserve">Press Ctrl+Shift+R  or go to Macros → RefreshData to run</t>
  </si>
  <si>
    <t xml:space="preserve">7.</t>
  </si>
  <si>
    <t xml:space="preserve">The Summary sheet will update with filtered &amp; grouped results</t>
  </si>
  <si>
    <t xml:space="preserve">  TIPS</t>
  </si>
  <si>
    <t xml:space="preserve">•</t>
  </si>
  <si>
    <t xml:space="preserve">To find your OneDrive path: right-click the file in File Explorer → Properties → Location</t>
  </si>
  <si>
    <t xml:space="preserve">You can also use the "TestWithSampleData" macro to test without an external file</t>
  </si>
  <si>
    <t xml:space="preserve">The macro reads the external file as read-only — your sales log is never modified</t>
  </si>
  <si>
    <t xml:space="preserve">If columns change in your source file, update the VBA constants (see Setup Notes)</t>
  </si>
  <si>
    <t xml:space="preserve">CONSOLIDATED SALES SUMMARY</t>
  </si>
  <si>
    <t xml:space="preserve">Date Range:</t>
  </si>
  <si>
    <t xml:space="preserve">to</t>
  </si>
  <si>
    <t xml:space="preserve">Last Refreshed:</t>
  </si>
  <si>
    <t xml:space="preserve">(click Refresh to populate)</t>
  </si>
  <si>
    <t xml:space="preserve">Supplier</t>
  </si>
  <si>
    <t xml:space="preserve">Item (SKU)</t>
  </si>
  <si>
    <t xml:space="preserve">Description</t>
  </si>
  <si>
    <t xml:space="preserve">Total Qty</t>
  </si>
  <si>
    <t xml:space="preserve">← Data will appear here after running the macro →</t>
  </si>
  <si>
    <t xml:space="preserve">Date</t>
  </si>
  <si>
    <t xml:space="preserve">Item</t>
  </si>
  <si>
    <t xml:space="preserve">Qty</t>
  </si>
  <si>
    <t xml:space="preserve">Austworld</t>
  </si>
  <si>
    <t xml:space="preserve">9333028251866</t>
  </si>
  <si>
    <t xml:space="preserve">All Directional Shower Chrome Plated With Swivel Nut 224MM</t>
  </si>
  <si>
    <t xml:space="preserve">9330288002634</t>
  </si>
  <si>
    <t xml:space="preserve">Elbow Brass FI 15MM Lead Free</t>
  </si>
  <si>
    <t xml:space="preserve">9330288011773</t>
  </si>
  <si>
    <t xml:space="preserve">Copper Compression Union Brass 20FI X 20C</t>
  </si>
  <si>
    <t xml:space="preserve">9330288082100</t>
  </si>
  <si>
    <t xml:space="preserve">Elbow Brass FI 20MM Lead Free</t>
  </si>
  <si>
    <t xml:space="preserve">9330288084111</t>
  </si>
  <si>
    <t xml:space="preserve">Hexagon Nipple Brass 15MM Lead Free</t>
  </si>
  <si>
    <t xml:space="preserve">9330288104413</t>
  </si>
  <si>
    <t xml:space="preserve">Hose Tap T-Handle Rough Brass Male 15MM Lead Free</t>
  </si>
  <si>
    <t xml:space="preserve">9330288112722</t>
  </si>
  <si>
    <t xml:space="preserve">Hexagon Nipple Brass 20MM Lead Free</t>
  </si>
  <si>
    <t xml:space="preserve">9330288112814</t>
  </si>
  <si>
    <t xml:space="preserve">Fitquik 1/4 Turn Cistern Stop Swivel Nut FI Lead Free</t>
  </si>
  <si>
    <t xml:space="preserve">9330288004010</t>
  </si>
  <si>
    <t xml:space="preserve">Nylon Compression Elbow Reducing Brass 20FI X 20C</t>
  </si>
  <si>
    <t xml:space="preserve">9330288070503</t>
  </si>
  <si>
    <t xml:space="preserve">Nylon Compression Union Brass 20C X 20C Lead Free</t>
  </si>
  <si>
    <t xml:space="preserve">9330288071074</t>
  </si>
  <si>
    <t xml:space="preserve">Nylon Compression Union Brass 15FI X 20C Lead Free</t>
  </si>
  <si>
    <t xml:space="preserve">9330288094943</t>
  </si>
  <si>
    <t xml:space="preserve">Hose Nut And Tail Brass 15FI X 15MM Lead Free</t>
  </si>
  <si>
    <t xml:space="preserve">Nylon Compression Elbow Reducing Brass 20FI X 15C</t>
  </si>
  <si>
    <t xml:space="preserve">9330288104956</t>
  </si>
  <si>
    <t xml:space="preserve">Hose Tap T Handle Rough Brass MI 20MM Lead Free</t>
  </si>
  <si>
    <t xml:space="preserve">BVS Marketing</t>
  </si>
  <si>
    <t xml:space="preserve">RHFP5BLK</t>
  </si>
  <si>
    <t xml:space="preserve">Desire Matte Black Food Processor</t>
  </si>
  <si>
    <t xml:space="preserve">WCM5000WE</t>
  </si>
  <si>
    <t xml:space="preserve">Westinghouse 504L Chest Freezer White</t>
  </si>
  <si>
    <t xml:space="preserve">WCM3000WE</t>
  </si>
  <si>
    <t xml:space="preserve">Westinghouse 297L Chest Freezer White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</si>
</sst>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009688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9688"/>
      <name val="Cambria"/>
      <family val="0"/>
      <charset val="1"/>
    </font>
    <font>
      <sz val="11"/>
      <name val="Cambria"/>
      <family val="0"/>
      <charset val="1"/>
    </font>
    <font>
      <sz val="11"/>
      <color rgb="FF009688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004D40"/>
      <name val="Cambria"/>
      <family val="0"/>
      <charset val="1"/>
    </font>
    <font>
      <sz val="11"/>
      <color rgb="FF666666"/>
      <name val="Cambria"/>
      <family val="0"/>
      <charset val="1"/>
    </font>
    <font>
      <i val="true"/>
      <sz val="10"/>
      <color rgb="FF99999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BBBBB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9688"/>
        <bgColor rgb="FF008080"/>
      </patternFill>
    </fill>
    <fill>
      <patternFill patternType="solid">
        <fgColor rgb="FF004D40"/>
        <bgColor rgb="FF006400"/>
      </patternFill>
    </fill>
    <fill>
      <patternFill patternType="solid">
        <fgColor rgb="FFE0F2F1"/>
        <bgColor rgb="FFCCFFFF"/>
      </patternFill>
    </fill>
    <fill>
      <patternFill patternType="solid">
        <fgColor rgb="FFFFF9C4"/>
        <bgColor rgb="FFFFF3E0"/>
      </patternFill>
    </fill>
    <fill>
      <patternFill patternType="solid">
        <fgColor rgb="FF006400"/>
        <bgColor rgb="FF004D40"/>
      </patternFill>
    </fill>
    <fill>
      <patternFill patternType="solid">
        <fgColor rgb="FFFF9800"/>
        <bgColor rgb="FFFF6600"/>
      </patternFill>
    </fill>
    <fill>
      <patternFill patternType="solid">
        <fgColor rgb="FFFFF3E0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9800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9688"/>
      <rgbColor rgb="FFBBBBBB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F6600"/>
      <rgbColor rgb="FF666666"/>
      <rgbColor rgb="FF999999"/>
      <rgbColor rgb="FF004D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Log" displayName="SalesLog" ref="A1:E25" headerRowCount="1" totalsRowCount="0" totalsRowShown="0">
  <autoFilter ref="A1:E25"/>
  <tableColumns count="5">
    <tableColumn id="1" name="Supplier"/>
    <tableColumn id="2" name="Date"/>
    <tableColumn id="3" name="Item"/>
    <tableColumn id="4" name="Description"/>
    <tableColumn id="5" name="Q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688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5" min="3" style="0" width="1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.75" hidden="false" customHeight="true" outlineLevel="0" collapsed="false">
      <c r="A2" s="2"/>
      <c r="B2" s="2"/>
      <c r="C2" s="2"/>
      <c r="D2" s="2"/>
      <c r="E2" s="2"/>
    </row>
    <row r="3" customFormat="false" ht="27.75" hidden="false" customHeight="true" outlineLevel="0" collapsed="false">
      <c r="A3" s="3" t="s">
        <v>1</v>
      </c>
      <c r="B3" s="3"/>
      <c r="C3" s="3"/>
      <c r="D3" s="3"/>
      <c r="E3" s="3"/>
    </row>
    <row r="5" customFormat="false" ht="15" hidden="false" customHeight="false" outlineLevel="0" collapsed="false">
      <c r="A5" s="4" t="s">
        <v>2</v>
      </c>
      <c r="B5" s="5" t="s">
        <v>3</v>
      </c>
      <c r="C5" s="5"/>
      <c r="D5" s="5"/>
      <c r="E5" s="5"/>
    </row>
    <row r="6" customFormat="false" ht="15" hidden="false" customHeight="false" outlineLevel="0" collapsed="false">
      <c r="A6" s="4" t="s">
        <v>4</v>
      </c>
      <c r="B6" s="5" t="s">
        <v>5</v>
      </c>
    </row>
    <row r="8" customFormat="false" ht="27.75" hidden="false" customHeight="true" outlineLevel="0" collapsed="false">
      <c r="A8" s="3" t="s">
        <v>6</v>
      </c>
      <c r="B8" s="3"/>
      <c r="C8" s="3"/>
      <c r="D8" s="3"/>
      <c r="E8" s="3"/>
    </row>
    <row r="10" customFormat="false" ht="15" hidden="false" customHeight="false" outlineLevel="0" collapsed="false">
      <c r="A10" s="4" t="s">
        <v>7</v>
      </c>
      <c r="B10" s="6" t="n">
        <v>46054</v>
      </c>
    </row>
    <row r="11" customFormat="false" ht="15" hidden="false" customHeight="false" outlineLevel="0" collapsed="false">
      <c r="A11" s="4" t="s">
        <v>8</v>
      </c>
      <c r="B11" s="6" t="n">
        <v>46081</v>
      </c>
    </row>
    <row r="13" customFormat="false" ht="27.75" hidden="false" customHeight="true" outlineLevel="0" collapsed="false">
      <c r="A13" s="3" t="s">
        <v>9</v>
      </c>
      <c r="B13" s="3"/>
      <c r="C13" s="3"/>
      <c r="D13" s="3"/>
      <c r="E13" s="3"/>
    </row>
    <row r="15" customFormat="false" ht="15" hidden="false" customHeight="false" outlineLevel="0" collapsed="false">
      <c r="A15" s="7" t="s">
        <v>10</v>
      </c>
      <c r="B15" s="8" t="s">
        <v>11</v>
      </c>
      <c r="C15" s="8"/>
      <c r="D15" s="8"/>
      <c r="E15" s="8"/>
    </row>
    <row r="16" customFormat="false" ht="15" hidden="false" customHeight="false" outlineLevel="0" collapsed="false">
      <c r="A16" s="7" t="s">
        <v>12</v>
      </c>
      <c r="B16" s="8" t="s">
        <v>13</v>
      </c>
      <c r="C16" s="8"/>
      <c r="D16" s="8"/>
      <c r="E16" s="8"/>
    </row>
    <row r="17" customFormat="false" ht="15" hidden="false" customHeight="false" outlineLevel="0" collapsed="false">
      <c r="A17" s="7" t="s">
        <v>14</v>
      </c>
      <c r="B17" s="8" t="s">
        <v>15</v>
      </c>
      <c r="C17" s="8"/>
      <c r="D17" s="8"/>
      <c r="E17" s="8"/>
    </row>
    <row r="18" customFormat="false" ht="15" hidden="false" customHeight="false" outlineLevel="0" collapsed="false">
      <c r="A18" s="7" t="s">
        <v>16</v>
      </c>
      <c r="B18" s="8" t="s">
        <v>17</v>
      </c>
      <c r="C18" s="8"/>
      <c r="D18" s="8"/>
      <c r="E18" s="8"/>
    </row>
    <row r="19" customFormat="false" ht="15" hidden="false" customHeight="false" outlineLevel="0" collapsed="false">
      <c r="A19" s="7" t="s">
        <v>18</v>
      </c>
      <c r="B19" s="8" t="s">
        <v>19</v>
      </c>
      <c r="C19" s="8"/>
      <c r="D19" s="8"/>
      <c r="E19" s="8"/>
    </row>
    <row r="20" customFormat="false" ht="15" hidden="false" customHeight="false" outlineLevel="0" collapsed="false">
      <c r="A20" s="7" t="s">
        <v>20</v>
      </c>
      <c r="B20" s="8" t="s">
        <v>21</v>
      </c>
      <c r="C20" s="8"/>
      <c r="D20" s="8"/>
      <c r="E20" s="8"/>
    </row>
    <row r="21" customFormat="false" ht="15" hidden="false" customHeight="false" outlineLevel="0" collapsed="false">
      <c r="A21" s="7" t="s">
        <v>22</v>
      </c>
      <c r="B21" s="8" t="s">
        <v>23</v>
      </c>
      <c r="C21" s="8"/>
      <c r="D21" s="8"/>
      <c r="E21" s="8"/>
    </row>
    <row r="23" customFormat="false" ht="27.75" hidden="false" customHeight="true" outlineLevel="0" collapsed="false">
      <c r="A23" s="3" t="s">
        <v>24</v>
      </c>
      <c r="B23" s="3"/>
      <c r="C23" s="3"/>
      <c r="D23" s="3"/>
      <c r="E23" s="3"/>
    </row>
    <row r="25" customFormat="false" ht="15" hidden="false" customHeight="false" outlineLevel="0" collapsed="false">
      <c r="A25" s="9" t="s">
        <v>25</v>
      </c>
      <c r="B25" s="10" t="s">
        <v>26</v>
      </c>
      <c r="C25" s="10"/>
      <c r="D25" s="10"/>
      <c r="E25" s="10"/>
    </row>
    <row r="26" customFormat="false" ht="15" hidden="false" customHeight="false" outlineLevel="0" collapsed="false">
      <c r="A26" s="9" t="s">
        <v>25</v>
      </c>
      <c r="B26" s="10" t="s">
        <v>27</v>
      </c>
      <c r="C26" s="10"/>
      <c r="D26" s="10"/>
      <c r="E26" s="10"/>
    </row>
    <row r="27" customFormat="false" ht="15" hidden="false" customHeight="false" outlineLevel="0" collapsed="false">
      <c r="A27" s="9" t="s">
        <v>25</v>
      </c>
      <c r="B27" s="10" t="s">
        <v>28</v>
      </c>
      <c r="C27" s="10"/>
      <c r="D27" s="10"/>
      <c r="E27" s="10"/>
    </row>
    <row r="28" customFormat="false" ht="15" hidden="false" customHeight="false" outlineLevel="0" collapsed="false">
      <c r="A28" s="9" t="s">
        <v>25</v>
      </c>
      <c r="B28" s="10" t="s">
        <v>29</v>
      </c>
      <c r="C28" s="10"/>
      <c r="D28" s="10"/>
      <c r="E28" s="10"/>
    </row>
  </sheetData>
  <mergeCells count="18">
    <mergeCell ref="A1:E1"/>
    <mergeCell ref="A2:E2"/>
    <mergeCell ref="A3:E3"/>
    <mergeCell ref="B5:E5"/>
    <mergeCell ref="A8:E8"/>
    <mergeCell ref="A13:E13"/>
    <mergeCell ref="B15:E15"/>
    <mergeCell ref="B16:E16"/>
    <mergeCell ref="B17:E17"/>
    <mergeCell ref="B18:E18"/>
    <mergeCell ref="B19:E19"/>
    <mergeCell ref="B20:E20"/>
    <mergeCell ref="B21:E21"/>
    <mergeCell ref="A23:E23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40"/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2"/>
  </cols>
  <sheetData>
    <row r="1" customFormat="false" ht="39.75" hidden="false" customHeight="true" outlineLevel="0" collapsed="false">
      <c r="A1" s="1" t="s">
        <v>30</v>
      </c>
      <c r="B1" s="1"/>
      <c r="C1" s="1"/>
      <c r="D1" s="1"/>
      <c r="E1" s="1"/>
    </row>
    <row r="2" customFormat="false" ht="3.75" hidden="false" customHeight="tru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11" t="s">
        <v>31</v>
      </c>
      <c r="B3" s="12" t="n">
        <f aca="false">StartDate</f>
        <v>46054</v>
      </c>
      <c r="C3" s="13" t="s">
        <v>32</v>
      </c>
      <c r="D3" s="12" t="n">
        <f aca="false">EndDate</f>
        <v>46081</v>
      </c>
    </row>
    <row r="4" customFormat="false" ht="15" hidden="false" customHeight="false" outlineLevel="0" collapsed="false">
      <c r="A4" s="11" t="s">
        <v>33</v>
      </c>
      <c r="B4" s="14" t="s">
        <v>34</v>
      </c>
    </row>
    <row r="6" customFormat="false" ht="27.75" hidden="false" customHeight="true" outlineLevel="0" collapsed="false">
      <c r="A6" s="15" t="s">
        <v>35</v>
      </c>
      <c r="B6" s="15" t="s">
        <v>36</v>
      </c>
      <c r="C6" s="15" t="s">
        <v>37</v>
      </c>
      <c r="D6" s="15" t="s">
        <v>38</v>
      </c>
    </row>
    <row r="7" customFormat="false" ht="15" hidden="false" customHeight="false" outlineLevel="0" collapsed="false">
      <c r="A7" s="16" t="s">
        <v>39</v>
      </c>
      <c r="B7" s="16"/>
      <c r="C7" s="16"/>
      <c r="D7" s="16"/>
    </row>
  </sheetData>
  <mergeCells count="3">
    <mergeCell ref="A1:E1"/>
    <mergeCell ref="A2:E2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7" t="s">
        <v>35</v>
      </c>
      <c r="B1" s="17" t="s">
        <v>40</v>
      </c>
      <c r="C1" s="17" t="s">
        <v>41</v>
      </c>
      <c r="D1" s="17" t="s">
        <v>37</v>
      </c>
      <c r="E1" s="17" t="s">
        <v>42</v>
      </c>
    </row>
    <row r="2" customFormat="false" ht="15" hidden="false" customHeight="false" outlineLevel="0" collapsed="false">
      <c r="A2" s="18" t="s">
        <v>43</v>
      </c>
      <c r="B2" s="19" t="n">
        <v>46056</v>
      </c>
      <c r="C2" s="18" t="s">
        <v>44</v>
      </c>
      <c r="D2" s="18" t="s">
        <v>45</v>
      </c>
      <c r="E2" s="18" t="n">
        <v>1</v>
      </c>
    </row>
    <row r="3" customFormat="false" ht="15" hidden="false" customHeight="false" outlineLevel="0" collapsed="false">
      <c r="A3" s="20" t="s">
        <v>43</v>
      </c>
      <c r="B3" s="21" t="n">
        <v>46057</v>
      </c>
      <c r="C3" s="20" t="s">
        <v>46</v>
      </c>
      <c r="D3" s="20" t="s">
        <v>47</v>
      </c>
      <c r="E3" s="20" t="n">
        <v>1</v>
      </c>
    </row>
    <row r="4" customFormat="false" ht="15" hidden="false" customHeight="false" outlineLevel="0" collapsed="false">
      <c r="A4" s="18" t="s">
        <v>43</v>
      </c>
      <c r="B4" s="19" t="n">
        <v>46057</v>
      </c>
      <c r="C4" s="18" t="s">
        <v>48</v>
      </c>
      <c r="D4" s="18" t="s">
        <v>49</v>
      </c>
      <c r="E4" s="18" t="n">
        <v>1</v>
      </c>
    </row>
    <row r="5" customFormat="false" ht="15" hidden="false" customHeight="false" outlineLevel="0" collapsed="false">
      <c r="A5" s="20" t="s">
        <v>43</v>
      </c>
      <c r="B5" s="21" t="n">
        <v>46057</v>
      </c>
      <c r="C5" s="20" t="s">
        <v>50</v>
      </c>
      <c r="D5" s="20" t="s">
        <v>51</v>
      </c>
      <c r="E5" s="20" t="n">
        <v>2</v>
      </c>
    </row>
    <row r="6" customFormat="false" ht="15" hidden="false" customHeight="false" outlineLevel="0" collapsed="false">
      <c r="A6" s="18" t="s">
        <v>43</v>
      </c>
      <c r="B6" s="19" t="n">
        <v>46057</v>
      </c>
      <c r="C6" s="18" t="s">
        <v>52</v>
      </c>
      <c r="D6" s="18" t="s">
        <v>53</v>
      </c>
      <c r="E6" s="18" t="n">
        <v>1</v>
      </c>
    </row>
    <row r="7" customFormat="false" ht="15" hidden="false" customHeight="false" outlineLevel="0" collapsed="false">
      <c r="A7" s="20" t="s">
        <v>43</v>
      </c>
      <c r="B7" s="21" t="n">
        <v>46057</v>
      </c>
      <c r="C7" s="20" t="s">
        <v>54</v>
      </c>
      <c r="D7" s="20" t="s">
        <v>55</v>
      </c>
      <c r="E7" s="20" t="n">
        <v>4</v>
      </c>
    </row>
    <row r="8" customFormat="false" ht="15" hidden="false" customHeight="false" outlineLevel="0" collapsed="false">
      <c r="A8" s="18" t="s">
        <v>43</v>
      </c>
      <c r="B8" s="19" t="n">
        <v>46057</v>
      </c>
      <c r="C8" s="18" t="s">
        <v>56</v>
      </c>
      <c r="D8" s="18" t="s">
        <v>57</v>
      </c>
      <c r="E8" s="18" t="n">
        <v>2</v>
      </c>
    </row>
    <row r="9" customFormat="false" ht="15" hidden="false" customHeight="false" outlineLevel="0" collapsed="false">
      <c r="A9" s="20" t="s">
        <v>43</v>
      </c>
      <c r="B9" s="21" t="n">
        <v>46057</v>
      </c>
      <c r="C9" s="20" t="s">
        <v>58</v>
      </c>
      <c r="D9" s="20" t="s">
        <v>59</v>
      </c>
      <c r="E9" s="20" t="n">
        <v>1</v>
      </c>
    </row>
    <row r="10" customFormat="false" ht="15" hidden="false" customHeight="false" outlineLevel="0" collapsed="false">
      <c r="A10" s="18" t="s">
        <v>43</v>
      </c>
      <c r="B10" s="19" t="n">
        <v>46058</v>
      </c>
      <c r="C10" s="18" t="s">
        <v>54</v>
      </c>
      <c r="D10" s="18" t="s">
        <v>55</v>
      </c>
      <c r="E10" s="18" t="n">
        <v>2</v>
      </c>
    </row>
    <row r="11" customFormat="false" ht="15" hidden="false" customHeight="false" outlineLevel="0" collapsed="false">
      <c r="A11" s="20" t="s">
        <v>43</v>
      </c>
      <c r="B11" s="21" t="n">
        <v>46060</v>
      </c>
      <c r="C11" s="20" t="s">
        <v>54</v>
      </c>
      <c r="D11" s="20" t="s">
        <v>55</v>
      </c>
      <c r="E11" s="20" t="n">
        <v>2</v>
      </c>
    </row>
    <row r="12" customFormat="false" ht="15" hidden="false" customHeight="false" outlineLevel="0" collapsed="false">
      <c r="A12" s="18" t="s">
        <v>43</v>
      </c>
      <c r="B12" s="19" t="n">
        <v>46069</v>
      </c>
      <c r="C12" s="18" t="s">
        <v>60</v>
      </c>
      <c r="D12" s="18" t="s">
        <v>61</v>
      </c>
      <c r="E12" s="18" t="n">
        <v>1</v>
      </c>
    </row>
    <row r="13" customFormat="false" ht="15" hidden="false" customHeight="false" outlineLevel="0" collapsed="false">
      <c r="A13" s="20" t="s">
        <v>43</v>
      </c>
      <c r="B13" s="21" t="n">
        <v>46069</v>
      </c>
      <c r="C13" s="20" t="s">
        <v>62</v>
      </c>
      <c r="D13" s="20" t="s">
        <v>63</v>
      </c>
      <c r="E13" s="20" t="n">
        <v>3</v>
      </c>
    </row>
    <row r="14" customFormat="false" ht="15" hidden="false" customHeight="false" outlineLevel="0" collapsed="false">
      <c r="A14" s="18" t="s">
        <v>43</v>
      </c>
      <c r="B14" s="19" t="n">
        <v>46069</v>
      </c>
      <c r="C14" s="18" t="s">
        <v>64</v>
      </c>
      <c r="D14" s="18" t="s">
        <v>65</v>
      </c>
      <c r="E14" s="18" t="n">
        <v>1</v>
      </c>
    </row>
    <row r="15" customFormat="false" ht="15" hidden="false" customHeight="false" outlineLevel="0" collapsed="false">
      <c r="A15" s="20" t="s">
        <v>43</v>
      </c>
      <c r="B15" s="21" t="n">
        <v>46069</v>
      </c>
      <c r="C15" s="20" t="s">
        <v>52</v>
      </c>
      <c r="D15" s="20" t="s">
        <v>53</v>
      </c>
      <c r="E15" s="20" t="n">
        <v>1</v>
      </c>
    </row>
    <row r="16" customFormat="false" ht="15" hidden="false" customHeight="false" outlineLevel="0" collapsed="false">
      <c r="A16" s="18" t="s">
        <v>43</v>
      </c>
      <c r="B16" s="19" t="n">
        <v>46071</v>
      </c>
      <c r="C16" s="18" t="s">
        <v>66</v>
      </c>
      <c r="D16" s="18" t="s">
        <v>67</v>
      </c>
      <c r="E16" s="18" t="n">
        <v>1</v>
      </c>
    </row>
    <row r="17" customFormat="false" ht="15" hidden="false" customHeight="false" outlineLevel="0" collapsed="false">
      <c r="A17" s="20" t="s">
        <v>43</v>
      </c>
      <c r="B17" s="21" t="n">
        <v>46073</v>
      </c>
      <c r="C17" s="20" t="s">
        <v>52</v>
      </c>
      <c r="D17" s="20" t="s">
        <v>53</v>
      </c>
      <c r="E17" s="20" t="n">
        <v>1</v>
      </c>
    </row>
    <row r="18" customFormat="false" ht="15" hidden="false" customHeight="false" outlineLevel="0" collapsed="false">
      <c r="A18" s="18" t="s">
        <v>43</v>
      </c>
      <c r="B18" s="19" t="n">
        <v>46077</v>
      </c>
      <c r="C18" s="18" t="s">
        <v>60</v>
      </c>
      <c r="D18" s="18" t="s">
        <v>68</v>
      </c>
      <c r="E18" s="18" t="n">
        <v>2</v>
      </c>
    </row>
    <row r="19" customFormat="false" ht="15" hidden="false" customHeight="false" outlineLevel="0" collapsed="false">
      <c r="A19" s="20" t="s">
        <v>43</v>
      </c>
      <c r="B19" s="21" t="n">
        <v>46077</v>
      </c>
      <c r="C19" s="20" t="s">
        <v>64</v>
      </c>
      <c r="D19" s="20" t="s">
        <v>65</v>
      </c>
      <c r="E19" s="20" t="n">
        <v>2</v>
      </c>
    </row>
    <row r="20" customFormat="false" ht="15" hidden="false" customHeight="false" outlineLevel="0" collapsed="false">
      <c r="A20" s="18" t="s">
        <v>43</v>
      </c>
      <c r="B20" s="19" t="n">
        <v>46077</v>
      </c>
      <c r="C20" s="18" t="s">
        <v>52</v>
      </c>
      <c r="D20" s="18" t="s">
        <v>53</v>
      </c>
      <c r="E20" s="18" t="n">
        <v>2</v>
      </c>
    </row>
    <row r="21" customFormat="false" ht="15" hidden="false" customHeight="false" outlineLevel="0" collapsed="false">
      <c r="A21" s="20" t="s">
        <v>43</v>
      </c>
      <c r="B21" s="21" t="n">
        <v>46080</v>
      </c>
      <c r="C21" s="20" t="s">
        <v>69</v>
      </c>
      <c r="D21" s="20" t="s">
        <v>70</v>
      </c>
      <c r="E21" s="20" t="n">
        <v>1</v>
      </c>
    </row>
    <row r="22" customFormat="false" ht="15" hidden="false" customHeight="false" outlineLevel="0" collapsed="false">
      <c r="A22" s="18" t="s">
        <v>43</v>
      </c>
      <c r="B22" s="19" t="n">
        <v>46081</v>
      </c>
      <c r="C22" s="18" t="s">
        <v>69</v>
      </c>
      <c r="D22" s="18" t="s">
        <v>70</v>
      </c>
      <c r="E22" s="18" t="n">
        <v>1</v>
      </c>
    </row>
    <row r="23" customFormat="false" ht="15" hidden="false" customHeight="false" outlineLevel="0" collapsed="false">
      <c r="A23" s="20" t="s">
        <v>71</v>
      </c>
      <c r="B23" s="21" t="n">
        <v>46057</v>
      </c>
      <c r="C23" s="20" t="s">
        <v>72</v>
      </c>
      <c r="D23" s="20" t="s">
        <v>73</v>
      </c>
      <c r="E23" s="20" t="n">
        <v>1</v>
      </c>
    </row>
    <row r="24" customFormat="false" ht="15" hidden="false" customHeight="false" outlineLevel="0" collapsed="false">
      <c r="A24" s="18" t="s">
        <v>71</v>
      </c>
      <c r="B24" s="19" t="n">
        <v>46059</v>
      </c>
      <c r="C24" s="18" t="s">
        <v>74</v>
      </c>
      <c r="D24" s="18" t="s">
        <v>75</v>
      </c>
      <c r="E24" s="18" t="n">
        <v>1</v>
      </c>
    </row>
    <row r="25" customFormat="false" ht="15" hidden="false" customHeight="false" outlineLevel="0" collapsed="false">
      <c r="A25" s="20" t="s">
        <v>71</v>
      </c>
      <c r="B25" s="21" t="n">
        <v>46071</v>
      </c>
      <c r="C25" s="20" t="s">
        <v>76</v>
      </c>
      <c r="D25" s="20" t="s">
        <v>77</v>
      </c>
      <c r="E25" s="2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2026-03-03T05:33:54Z</dcterms:created>
  <dc:creator>openpyxl</dc:creator>
  <dc:description/>
  <dc:language>en-US</dc:language>
  <cp:lastModifiedBy/>
  <dcterms:modified xsi:type="dcterms:W3CDTF">2026-03-03T05:33:54Z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